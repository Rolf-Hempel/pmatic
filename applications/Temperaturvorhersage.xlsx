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<sst xmlns="http://schemas.openxmlformats.org/spreadsheetml/2006/main" count="5" uniqueCount="5">
  <si>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Vorhersage</t>
  </si>
  <si>
    <t xml:space="preserve">gemessen</t>
  </si>
  <si>
    <t xml:space="preserve">gemessen-vorhergesagt</t>
  </si>
  <si>
    <t xml:space="preserve">Vorhersage korrigiert</t>
  </si>
  <si>
    <t xml:space="preserve">verbleibender Fehler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</si>
</sst>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DD/MM/YY"/>
    <numFmt numFmtId="169" formatCode="DD/MM/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9"/>
  <sheetViews>
    <sheetView windowProtection="false"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49" activeCellId="0" sqref="E49"/>
    </sheetView>
  </sheetViews>
  <sheetFormatPr defaultRowHeight="15"/>
  <cols>
    <col collapsed="false" hidden="false" max="2" min="1" style="0" width="10.6032388663968"/>
    <col collapsed="false" hidden="false" max="3" min="3" style="0" width="13.7125506072874"/>
    <col collapsed="false" hidden="false" max="4" min="4" style="0" width="10.6032388663968"/>
    <col collapsed="false" hidden="false" max="5" min="5" style="0" width="13.1740890688259"/>
    <col collapsed="false" hidden="false" max="6" min="6" style="0" width="14.9959514170041"/>
    <col collapsed="false" hidden="false" max="1025" min="7" style="0" width="10.6032388663968"/>
  </cols>
  <sheetData>
    <row r="1" customFormat="false" ht="4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customFormat="false" ht="13.8" hidden="false" customHeight="false" outlineLevel="0" collapsed="false">
      <c r="A2" s="2" t="n">
        <v>8.6</v>
      </c>
      <c r="B2" s="2" t="n">
        <v>9.5</v>
      </c>
      <c r="C2" s="2" t="n">
        <f aca="false">B2-A2</f>
        <v>0.9</v>
      </c>
      <c r="E2" s="3" t="n">
        <f aca="false">A2+$H$21</f>
        <v>10.2529787234043</v>
      </c>
      <c r="F2" s="3" t="n">
        <f aca="false">B2-E2</f>
        <v>-0.752978723404254</v>
      </c>
    </row>
    <row r="3" customFormat="false" ht="13.8" hidden="false" customHeight="false" outlineLevel="0" collapsed="false">
      <c r="A3" s="2" t="n">
        <v>7.7</v>
      </c>
      <c r="B3" s="2" t="n">
        <v>8.7</v>
      </c>
      <c r="C3" s="2" t="n">
        <f aca="false">B3-A3</f>
        <v>0.999999999999999</v>
      </c>
      <c r="E3" s="3" t="n">
        <f aca="false">A3+$H$21</f>
        <v>9.35297872340426</v>
      </c>
      <c r="F3" s="3" t="n">
        <f aca="false">B3-E3</f>
        <v>-0.652978723404257</v>
      </c>
    </row>
    <row r="4" customFormat="false" ht="13.8" hidden="false" customHeight="false" outlineLevel="0" collapsed="false">
      <c r="A4" s="2" t="n">
        <v>6.7</v>
      </c>
      <c r="B4" s="2" t="n">
        <v>8</v>
      </c>
      <c r="C4" s="2" t="n">
        <f aca="false">B4-A4</f>
        <v>1.3</v>
      </c>
      <c r="E4" s="3" t="n">
        <f aca="false">A4+$H$21</f>
        <v>8.35297872340426</v>
      </c>
      <c r="F4" s="3" t="n">
        <f aca="false">B4-E4</f>
        <v>-0.352978723404256</v>
      </c>
    </row>
    <row r="5" customFormat="false" ht="13.8" hidden="false" customHeight="false" outlineLevel="0" collapsed="false">
      <c r="A5" s="2" t="n">
        <v>6.3</v>
      </c>
      <c r="B5" s="2" t="n">
        <v>7.4</v>
      </c>
      <c r="C5" s="2" t="n">
        <f aca="false">B5-A5</f>
        <v>1.1</v>
      </c>
      <c r="E5" s="3" t="n">
        <f aca="false">A5+$H$21</f>
        <v>7.95297872340426</v>
      </c>
      <c r="F5" s="3" t="n">
        <f aca="false">B5-E5</f>
        <v>-0.552978723404255</v>
      </c>
    </row>
    <row r="6" customFormat="false" ht="13.8" hidden="false" customHeight="false" outlineLevel="0" collapsed="false">
      <c r="A6" s="2" t="n">
        <v>6</v>
      </c>
      <c r="B6" s="2" t="n">
        <v>8.1</v>
      </c>
      <c r="C6" s="2" t="n">
        <f aca="false">B6-A6</f>
        <v>2.1</v>
      </c>
      <c r="E6" s="3" t="n">
        <f aca="false">A6+$H$21</f>
        <v>7.65297872340426</v>
      </c>
      <c r="F6" s="3" t="n">
        <f aca="false">B6-E6</f>
        <v>0.447021276595744</v>
      </c>
    </row>
    <row r="7" customFormat="false" ht="13.8" hidden="false" customHeight="false" outlineLevel="0" collapsed="false">
      <c r="A7" s="2" t="n">
        <v>7.8</v>
      </c>
      <c r="B7" s="2" t="n">
        <v>11.7</v>
      </c>
      <c r="C7" s="2" t="n">
        <f aca="false">B7-A7</f>
        <v>3.9</v>
      </c>
      <c r="E7" s="3" t="n">
        <f aca="false">A7+$H$21</f>
        <v>9.45297872340426</v>
      </c>
      <c r="F7" s="3" t="n">
        <f aca="false">B7-E7</f>
        <v>2.24702127659574</v>
      </c>
    </row>
    <row r="8" customFormat="false" ht="13.8" hidden="false" customHeight="false" outlineLevel="0" collapsed="false">
      <c r="A8" s="2" t="n">
        <v>9.4</v>
      </c>
      <c r="B8" s="2" t="n">
        <v>11.3</v>
      </c>
      <c r="C8" s="2" t="n">
        <f aca="false">B8-A8</f>
        <v>1.9</v>
      </c>
      <c r="E8" s="3" t="n">
        <f aca="false">A8+$H$21</f>
        <v>11.0529787234043</v>
      </c>
      <c r="F8" s="3" t="n">
        <f aca="false">B8-E8</f>
        <v>0.247021276595746</v>
      </c>
    </row>
    <row r="9" customFormat="false" ht="13.8" hidden="false" customHeight="false" outlineLevel="0" collapsed="false">
      <c r="A9" s="2" t="n">
        <v>10</v>
      </c>
      <c r="B9" s="2" t="n">
        <v>11.9</v>
      </c>
      <c r="C9" s="2" t="n">
        <f aca="false">B9-A9</f>
        <v>1.9</v>
      </c>
      <c r="E9" s="3" t="n">
        <f aca="false">A9+$H$21</f>
        <v>11.6529787234043</v>
      </c>
      <c r="F9" s="3" t="n">
        <f aca="false">B9-E9</f>
        <v>0.247021276595744</v>
      </c>
    </row>
    <row r="10" customFormat="false" ht="13.8" hidden="false" customHeight="false" outlineLevel="0" collapsed="false">
      <c r="A10" s="2" t="n">
        <v>6.6</v>
      </c>
      <c r="B10" s="2" t="n">
        <v>8.2</v>
      </c>
      <c r="C10" s="2" t="n">
        <f aca="false">B10-A10</f>
        <v>1.6</v>
      </c>
      <c r="E10" s="3" t="n">
        <f aca="false">A10+$H$21</f>
        <v>8.25297872340425</v>
      </c>
      <c r="F10" s="3" t="n">
        <f aca="false">B10-E10</f>
        <v>-0.0529787234042551</v>
      </c>
    </row>
    <row r="11" customFormat="false" ht="13.8" hidden="false" customHeight="false" outlineLevel="0" collapsed="false">
      <c r="A11" s="2" t="n">
        <v>7.8</v>
      </c>
      <c r="B11" s="2" t="n">
        <v>10.4</v>
      </c>
      <c r="C11" s="2" t="n">
        <f aca="false">B11-A11</f>
        <v>2.6</v>
      </c>
      <c r="E11" s="3" t="n">
        <f aca="false">A11+$H$21</f>
        <v>9.45297872340426</v>
      </c>
      <c r="F11" s="3" t="n">
        <f aca="false">B11-E11</f>
        <v>0.947021276595745</v>
      </c>
    </row>
    <row r="12" customFormat="false" ht="13.8" hidden="false" customHeight="false" outlineLevel="0" collapsed="false">
      <c r="A12" s="2" t="n">
        <v>9.2</v>
      </c>
      <c r="B12" s="2" t="n">
        <v>9.9</v>
      </c>
      <c r="C12" s="2" t="n">
        <f aca="false">B12-A12</f>
        <v>0.700000000000001</v>
      </c>
      <c r="E12" s="3" t="n">
        <f aca="false">A12+$H$21</f>
        <v>10.8529787234043</v>
      </c>
      <c r="F12" s="3" t="n">
        <f aca="false">B12-E12</f>
        <v>-0.952978723404256</v>
      </c>
    </row>
    <row r="13" customFormat="false" ht="13.8" hidden="false" customHeight="false" outlineLevel="0" collapsed="false">
      <c r="A13" s="2" t="n">
        <v>6.6</v>
      </c>
      <c r="B13" s="2" t="n">
        <v>8.6</v>
      </c>
      <c r="C13" s="2" t="n">
        <f aca="false">B13-A13</f>
        <v>2</v>
      </c>
      <c r="E13" s="3" t="n">
        <f aca="false">A13+$H$21</f>
        <v>8.25297872340425</v>
      </c>
      <c r="F13" s="3" t="n">
        <f aca="false">B13-E13</f>
        <v>0.347021276595745</v>
      </c>
    </row>
    <row r="14" customFormat="false" ht="13.8" hidden="false" customHeight="false" outlineLevel="0" collapsed="false">
      <c r="A14" s="2" t="n">
        <v>6.9</v>
      </c>
      <c r="B14" s="2" t="n">
        <v>8.3</v>
      </c>
      <c r="C14" s="2" t="n">
        <f aca="false">B14-A14</f>
        <v>1.4</v>
      </c>
      <c r="E14" s="3" t="n">
        <f aca="false">A14+$H$21</f>
        <v>8.55297872340426</v>
      </c>
      <c r="F14" s="3" t="n">
        <f aca="false">B14-E14</f>
        <v>-0.252978723404254</v>
      </c>
    </row>
    <row r="15" customFormat="false" ht="13.8" hidden="false" customHeight="false" outlineLevel="0" collapsed="false">
      <c r="A15" s="2" t="n">
        <v>4.8</v>
      </c>
      <c r="B15" s="2" t="n">
        <v>6.7</v>
      </c>
      <c r="C15" s="2" t="n">
        <f aca="false">B15-A15</f>
        <v>1.9</v>
      </c>
      <c r="E15" s="3" t="n">
        <f aca="false">A15+$H$21</f>
        <v>6.45297872340426</v>
      </c>
      <c r="F15" s="3" t="n">
        <f aca="false">B15-E15</f>
        <v>0.247021276595745</v>
      </c>
    </row>
    <row r="16" customFormat="false" ht="13.8" hidden="false" customHeight="false" outlineLevel="0" collapsed="false">
      <c r="A16" s="2" t="n">
        <v>4.1</v>
      </c>
      <c r="B16" s="2" t="n">
        <v>5.6</v>
      </c>
      <c r="C16" s="2" t="n">
        <f aca="false">B16-A16</f>
        <v>1.5</v>
      </c>
      <c r="E16" s="3" t="n">
        <f aca="false">A16+$H$21</f>
        <v>5.75297872340426</v>
      </c>
      <c r="F16" s="3" t="n">
        <f aca="false">B16-E16</f>
        <v>-0.152978723404256</v>
      </c>
    </row>
    <row r="17" customFormat="false" ht="13.8" hidden="false" customHeight="false" outlineLevel="0" collapsed="false">
      <c r="A17" s="2" t="n">
        <v>3.1</v>
      </c>
      <c r="B17" s="2" t="n">
        <v>4.2</v>
      </c>
      <c r="C17" s="2" t="n">
        <f aca="false">B17-A17</f>
        <v>1.1</v>
      </c>
      <c r="E17" s="3" t="n">
        <f aca="false">A17+$H$21</f>
        <v>4.75297872340426</v>
      </c>
      <c r="F17" s="3" t="n">
        <f aca="false">B17-E17</f>
        <v>-0.552978723404256</v>
      </c>
    </row>
    <row r="18" customFormat="false" ht="13.8" hidden="false" customHeight="false" outlineLevel="0" collapsed="false">
      <c r="A18" s="0" t="n">
        <v>2.1</v>
      </c>
      <c r="B18" s="0" t="n">
        <v>2.9</v>
      </c>
      <c r="C18" s="2" t="n">
        <f aca="false">B18-A18</f>
        <v>0.8</v>
      </c>
      <c r="E18" s="3" t="n">
        <f aca="false">A18+$H$21</f>
        <v>3.75297872340426</v>
      </c>
      <c r="F18" s="3" t="n">
        <f aca="false">B18-E18</f>
        <v>-0.852978723404256</v>
      </c>
    </row>
    <row r="19" customFormat="false" ht="13.8" hidden="false" customHeight="false" outlineLevel="0" collapsed="false">
      <c r="A19" s="0" t="n">
        <v>2.2</v>
      </c>
      <c r="B19" s="0" t="n">
        <v>5.2</v>
      </c>
      <c r="C19" s="2" t="n">
        <f aca="false">B19-A19</f>
        <v>3</v>
      </c>
      <c r="E19" s="3" t="n">
        <f aca="false">A19+$H$21</f>
        <v>3.85297872340426</v>
      </c>
      <c r="F19" s="3" t="n">
        <f aca="false">B19-E19</f>
        <v>1.34702127659574</v>
      </c>
    </row>
    <row r="20" customFormat="false" ht="13.8" hidden="false" customHeight="false" outlineLevel="0" collapsed="false">
      <c r="A20" s="0" t="n">
        <v>4.6</v>
      </c>
      <c r="B20" s="0" t="n">
        <v>6.8</v>
      </c>
      <c r="C20" s="2" t="n">
        <f aca="false">B20-A20</f>
        <v>2.2</v>
      </c>
      <c r="E20" s="3" t="n">
        <f aca="false">A20+$H$21</f>
        <v>6.25297872340426</v>
      </c>
      <c r="F20" s="3" t="n">
        <f aca="false">B20-E20</f>
        <v>0.547021276595745</v>
      </c>
    </row>
    <row r="21" customFormat="false" ht="13.8" hidden="false" customHeight="false" outlineLevel="0" collapsed="false">
      <c r="A21" s="0" t="n">
        <v>7.4</v>
      </c>
      <c r="B21" s="0" t="n">
        <v>8.5</v>
      </c>
      <c r="C21" s="2" t="n">
        <f aca="false">B21-A21</f>
        <v>1.1</v>
      </c>
      <c r="E21" s="3" t="n">
        <f aca="false">A21+$H$21</f>
        <v>9.05297872340426</v>
      </c>
      <c r="F21" s="3" t="n">
        <f aca="false">B21-E21</f>
        <v>-0.552978723404255</v>
      </c>
      <c r="H21" s="0" t="n">
        <f aca="false">SUM(C2:C48)/H22</f>
        <v>1.65297872340426</v>
      </c>
    </row>
    <row r="22" customFormat="false" ht="13.8" hidden="false" customHeight="false" outlineLevel="0" collapsed="false">
      <c r="A22" s="0" t="n">
        <v>5.1</v>
      </c>
      <c r="B22" s="0" t="n">
        <v>6.2</v>
      </c>
      <c r="C22" s="2" t="n">
        <f aca="false">B22-A22</f>
        <v>1.1</v>
      </c>
      <c r="E22" s="3" t="n">
        <f aca="false">A22+$H$21</f>
        <v>6.75297872340426</v>
      </c>
      <c r="F22" s="3" t="n">
        <f aca="false">B22-E22</f>
        <v>-0.552978723404255</v>
      </c>
      <c r="H22" s="0" t="n">
        <v>47</v>
      </c>
    </row>
    <row r="23" customFormat="false" ht="13.8" hidden="false" customHeight="false" outlineLevel="0" collapsed="false">
      <c r="A23" s="0" t="n">
        <v>5.2</v>
      </c>
      <c r="B23" s="0" t="n">
        <v>7.4</v>
      </c>
      <c r="C23" s="2" t="n">
        <f aca="false">B23-A23</f>
        <v>2.2</v>
      </c>
      <c r="E23" s="3" t="n">
        <f aca="false">A23+$H$21</f>
        <v>6.85297872340426</v>
      </c>
      <c r="F23" s="3" t="n">
        <f aca="false">B23-E23</f>
        <v>0.547021276595745</v>
      </c>
    </row>
    <row r="24" customFormat="false" ht="13.8" hidden="false" customHeight="false" outlineLevel="0" collapsed="false">
      <c r="A24" s="0" t="n">
        <v>5.7</v>
      </c>
      <c r="B24" s="0" t="n">
        <v>8</v>
      </c>
      <c r="C24" s="2" t="n">
        <f aca="false">B24-A24</f>
        <v>2.3</v>
      </c>
      <c r="E24" s="3" t="n">
        <f aca="false">A24+$H$21</f>
        <v>7.35297872340426</v>
      </c>
      <c r="F24" s="3" t="n">
        <f aca="false">B24-E24</f>
        <v>0.647021276595744</v>
      </c>
    </row>
    <row r="25" customFormat="false" ht="13.8" hidden="false" customHeight="false" outlineLevel="0" collapsed="false">
      <c r="A25" s="0" t="n">
        <v>4.7</v>
      </c>
      <c r="B25" s="0" t="n">
        <v>5.4</v>
      </c>
      <c r="C25" s="2" t="n">
        <f aca="false">B25-A25</f>
        <v>0.7</v>
      </c>
      <c r="E25" s="3" t="n">
        <f aca="false">A25+$H$21</f>
        <v>6.35297872340426</v>
      </c>
      <c r="F25" s="3" t="n">
        <f aca="false">B25-E25</f>
        <v>-0.952978723404256</v>
      </c>
    </row>
    <row r="26" customFormat="false" ht="13.8" hidden="false" customHeight="false" outlineLevel="0" collapsed="false">
      <c r="A26" s="0" t="n">
        <v>3.6</v>
      </c>
      <c r="B26" s="0" t="n">
        <v>5.8</v>
      </c>
      <c r="C26" s="2" t="n">
        <f aca="false">B26-A26</f>
        <v>2.2</v>
      </c>
      <c r="E26" s="3" t="n">
        <f aca="false">A26+$H$21</f>
        <v>5.25297872340426</v>
      </c>
      <c r="F26" s="3" t="n">
        <f aca="false">B26-E26</f>
        <v>0.547021276595744</v>
      </c>
    </row>
    <row r="27" customFormat="false" ht="13.8" hidden="false" customHeight="false" outlineLevel="0" collapsed="false">
      <c r="A27" s="0" t="n">
        <v>4</v>
      </c>
      <c r="B27" s="0" t="n">
        <v>6.7</v>
      </c>
      <c r="C27" s="2" t="n">
        <f aca="false">B27-A27</f>
        <v>2.7</v>
      </c>
      <c r="E27" s="3" t="n">
        <f aca="false">A27+$H$21</f>
        <v>5.65297872340426</v>
      </c>
      <c r="F27" s="3" t="n">
        <f aca="false">B27-E27</f>
        <v>1.04702127659574</v>
      </c>
    </row>
    <row r="28" customFormat="false" ht="13.8" hidden="false" customHeight="false" outlineLevel="0" collapsed="false">
      <c r="A28" s="0" t="n">
        <v>5.5</v>
      </c>
      <c r="B28" s="0" t="n">
        <v>7.7</v>
      </c>
      <c r="C28" s="2" t="n">
        <f aca="false">B28-A28</f>
        <v>2.2</v>
      </c>
      <c r="E28" s="3" t="n">
        <f aca="false">A28+$H$21</f>
        <v>7.15297872340426</v>
      </c>
      <c r="F28" s="3" t="n">
        <f aca="false">B28-E28</f>
        <v>0.547021276595745</v>
      </c>
    </row>
    <row r="29" customFormat="false" ht="13.8" hidden="false" customHeight="false" outlineLevel="0" collapsed="false">
      <c r="A29" s="0" t="n">
        <v>7.5</v>
      </c>
      <c r="B29" s="0" t="n">
        <v>9.9</v>
      </c>
      <c r="C29" s="2" t="n">
        <f aca="false">B29-A29</f>
        <v>2.4</v>
      </c>
      <c r="E29" s="3" t="n">
        <f aca="false">A29+$H$21</f>
        <v>9.15297872340426</v>
      </c>
      <c r="F29" s="3" t="n">
        <f aca="false">B29-E29</f>
        <v>0.747021276595744</v>
      </c>
      <c r="H29" s="4" t="n">
        <v>42855</v>
      </c>
    </row>
    <row r="30" customFormat="false" ht="13.8" hidden="false" customHeight="false" outlineLevel="0" collapsed="false">
      <c r="A30" s="0" t="n">
        <v>9.5</v>
      </c>
      <c r="B30" s="0" t="n">
        <v>11</v>
      </c>
      <c r="C30" s="2" t="n">
        <f aca="false">B30-A30</f>
        <v>1.5</v>
      </c>
      <c r="E30" s="3" t="n">
        <f aca="false">A30+$H$21</f>
        <v>11.1529787234043</v>
      </c>
      <c r="F30" s="3" t="n">
        <f aca="false">B30-E30</f>
        <v>-0.152978723404257</v>
      </c>
    </row>
    <row r="31" customFormat="false" ht="13.8" hidden="false" customHeight="false" outlineLevel="0" collapsed="false">
      <c r="A31" s="0" t="n">
        <f aca="false">10.54-1.78</f>
        <v>8.76</v>
      </c>
      <c r="B31" s="0" t="n">
        <v>8.1</v>
      </c>
      <c r="C31" s="2" t="n">
        <f aca="false">B31-A31</f>
        <v>-0.66</v>
      </c>
      <c r="E31" s="3" t="n">
        <f aca="false">A31+$H$21</f>
        <v>10.4129787234043</v>
      </c>
      <c r="F31" s="3" t="n">
        <f aca="false">B31-E31</f>
        <v>-2.31297872340425</v>
      </c>
    </row>
    <row r="32" customFormat="false" ht="13.8" hidden="false" customHeight="false" outlineLevel="0" collapsed="false">
      <c r="A32" s="0" t="n">
        <f aca="false">11.07-1.78</f>
        <v>9.29</v>
      </c>
      <c r="B32" s="0" t="n">
        <v>9.1</v>
      </c>
      <c r="C32" s="2" t="n">
        <f aca="false">B32-A32</f>
        <v>-0.190000000000001</v>
      </c>
      <c r="E32" s="3" t="n">
        <f aca="false">A32+$H$21</f>
        <v>10.9429787234043</v>
      </c>
      <c r="F32" s="3" t="n">
        <f aca="false">B32-E32</f>
        <v>-1.84297872340426</v>
      </c>
    </row>
    <row r="33" customFormat="false" ht="13.8" hidden="false" customHeight="false" outlineLevel="0" collapsed="false">
      <c r="A33" s="0" t="n">
        <f aca="false">10.73-1.78</f>
        <v>8.95</v>
      </c>
      <c r="B33" s="0" t="n">
        <v>10.3</v>
      </c>
      <c r="C33" s="2" t="n">
        <f aca="false">B33-A33</f>
        <v>1.35</v>
      </c>
      <c r="E33" s="3" t="n">
        <f aca="false">A33+$H$21</f>
        <v>10.6029787234043</v>
      </c>
      <c r="F33" s="3" t="n">
        <f aca="false">B33-E33</f>
        <v>-0.302978723404255</v>
      </c>
    </row>
    <row r="34" customFormat="false" ht="13.8" hidden="false" customHeight="false" outlineLevel="0" collapsed="false">
      <c r="A34" s="0" t="n">
        <f aca="false">11.62-1.78</f>
        <v>9.84</v>
      </c>
      <c r="B34" s="0" t="n">
        <v>10.5</v>
      </c>
      <c r="C34" s="2" t="n">
        <f aca="false">B34-A34</f>
        <v>0.66</v>
      </c>
      <c r="E34" s="3" t="n">
        <f aca="false">A34+$H$21</f>
        <v>11.4929787234043</v>
      </c>
      <c r="F34" s="3" t="n">
        <f aca="false">B34-E34</f>
        <v>-0.992978723404256</v>
      </c>
    </row>
    <row r="35" customFormat="false" ht="13.8" hidden="false" customHeight="false" outlineLevel="0" collapsed="false">
      <c r="A35" s="0" t="n">
        <f aca="false">11.91-1.78</f>
        <v>10.13</v>
      </c>
      <c r="B35" s="0" t="n">
        <v>12.2</v>
      </c>
      <c r="C35" s="2" t="n">
        <f aca="false">B35-A35</f>
        <v>2.07</v>
      </c>
      <c r="E35" s="3" t="n">
        <f aca="false">A35+$H$21</f>
        <v>11.7829787234043</v>
      </c>
      <c r="F35" s="3" t="n">
        <f aca="false">B35-E35</f>
        <v>0.417021276595744</v>
      </c>
    </row>
    <row r="36" customFormat="false" ht="13.8" hidden="false" customHeight="false" outlineLevel="0" collapsed="false">
      <c r="A36" s="0" t="n">
        <f aca="false">14.6-1.78</f>
        <v>12.82</v>
      </c>
      <c r="B36" s="0" t="n">
        <v>13.9</v>
      </c>
      <c r="C36" s="2" t="n">
        <f aca="false">B36-A36</f>
        <v>1.08</v>
      </c>
      <c r="E36" s="3" t="n">
        <f aca="false">A36+$H$21</f>
        <v>14.4729787234043</v>
      </c>
      <c r="F36" s="3" t="n">
        <f aca="false">B36-E36</f>
        <v>-0.572978723404257</v>
      </c>
    </row>
    <row r="37" customFormat="false" ht="13.8" hidden="false" customHeight="false" outlineLevel="0" collapsed="false">
      <c r="A37" s="0" t="n">
        <f aca="false">11.55-1.78</f>
        <v>9.77</v>
      </c>
      <c r="B37" s="0" t="n">
        <v>9.5</v>
      </c>
      <c r="C37" s="2" t="n">
        <f aca="false">B37-A37</f>
        <v>-0.270000000000001</v>
      </c>
      <c r="E37" s="3" t="n">
        <f aca="false">A37+$H$21</f>
        <v>11.4229787234043</v>
      </c>
      <c r="F37" s="3" t="n">
        <f aca="false">B37-E37</f>
        <v>-1.92297872340426</v>
      </c>
    </row>
    <row r="38" customFormat="false" ht="13.8" hidden="false" customHeight="false" outlineLevel="0" collapsed="false">
      <c r="A38" s="0" t="n">
        <f aca="false">9-1.78</f>
        <v>7.22</v>
      </c>
      <c r="B38" s="0" t="n">
        <v>8</v>
      </c>
      <c r="C38" s="2" t="n">
        <f aca="false">B38-A38</f>
        <v>0.78</v>
      </c>
      <c r="E38" s="3" t="n">
        <f aca="false">A38+$H$21</f>
        <v>8.87297872340426</v>
      </c>
      <c r="F38" s="3" t="n">
        <f aca="false">B38-E38</f>
        <v>-0.872978723404255</v>
      </c>
    </row>
    <row r="39" customFormat="false" ht="13.8" hidden="false" customHeight="false" outlineLevel="0" collapsed="false">
      <c r="A39" s="0" t="n">
        <f aca="false">9.47-1.78</f>
        <v>7.69</v>
      </c>
      <c r="B39" s="0" t="n">
        <v>9.1</v>
      </c>
      <c r="C39" s="2" t="n">
        <f aca="false">B39-A39</f>
        <v>1.41</v>
      </c>
      <c r="E39" s="3" t="n">
        <f aca="false">A39+$H$21</f>
        <v>9.34297872340426</v>
      </c>
      <c r="F39" s="3" t="n">
        <f aca="false">B39-E39</f>
        <v>-0.242978723404256</v>
      </c>
    </row>
    <row r="40" customFormat="false" ht="13.8" hidden="false" customHeight="false" outlineLevel="0" collapsed="false">
      <c r="A40" s="0" t="n">
        <f aca="false">13.79-1.78</f>
        <v>12.01</v>
      </c>
      <c r="B40" s="0" t="n">
        <v>15.1</v>
      </c>
      <c r="C40" s="2" t="n">
        <f aca="false">B40-A40</f>
        <v>3.09</v>
      </c>
      <c r="E40" s="3" t="n">
        <f aca="false">A40+$H$21</f>
        <v>13.6629787234043</v>
      </c>
      <c r="F40" s="3" t="n">
        <f aca="false">B40-E40</f>
        <v>1.43702127659575</v>
      </c>
    </row>
    <row r="41" customFormat="false" ht="13.8" hidden="false" customHeight="false" outlineLevel="0" collapsed="false">
      <c r="A41" s="0" t="n">
        <f aca="false">15.86-1.78</f>
        <v>14.08</v>
      </c>
      <c r="B41" s="0" t="n">
        <v>17</v>
      </c>
      <c r="C41" s="2" t="n">
        <f aca="false">B41-A41</f>
        <v>2.92</v>
      </c>
      <c r="E41" s="3" t="n">
        <f aca="false">A41+$H$21</f>
        <v>15.7329787234043</v>
      </c>
      <c r="F41" s="3" t="n">
        <f aca="false">B41-E41</f>
        <v>1.26702127659575</v>
      </c>
      <c r="H41" s="5" t="n">
        <v>42867</v>
      </c>
    </row>
    <row r="42" customFormat="false" ht="13.8" hidden="false" customHeight="false" outlineLevel="0" collapsed="false">
      <c r="A42" s="0" t="n">
        <f aca="false">16.12-1.78</f>
        <v>14.34</v>
      </c>
      <c r="B42" s="0" t="n">
        <v>17</v>
      </c>
      <c r="C42" s="2" t="n">
        <f aca="false">B42-A42</f>
        <v>2.66</v>
      </c>
      <c r="E42" s="3" t="n">
        <f aca="false">A42+$H$21</f>
        <v>15.9929787234043</v>
      </c>
      <c r="F42" s="3" t="n">
        <f aca="false">B42-E42</f>
        <v>1.00702127659574</v>
      </c>
    </row>
    <row r="43" customFormat="false" ht="13.8" hidden="false" customHeight="false" outlineLevel="0" collapsed="false">
      <c r="A43" s="0" t="n">
        <f aca="false">16.14-1.59</f>
        <v>14.55</v>
      </c>
      <c r="B43" s="0" t="n">
        <v>16.8</v>
      </c>
      <c r="C43" s="2" t="n">
        <f aca="false">B43-A43</f>
        <v>2.25</v>
      </c>
      <c r="E43" s="3" t="n">
        <f aca="false">A43+$H$21</f>
        <v>16.2029787234043</v>
      </c>
      <c r="F43" s="3" t="n">
        <f aca="false">B43-E43</f>
        <v>0.597021276595743</v>
      </c>
    </row>
    <row r="44" customFormat="false" ht="13.8" hidden="false" customHeight="false" outlineLevel="0" collapsed="false">
      <c r="A44" s="0" t="n">
        <f aca="false">14.85-1.59</f>
        <v>13.26</v>
      </c>
      <c r="B44" s="0" t="n">
        <v>15.5</v>
      </c>
      <c r="C44" s="2" t="n">
        <f aca="false">B44-A44</f>
        <v>2.24</v>
      </c>
      <c r="E44" s="3" t="n">
        <f aca="false">A44+$H$21</f>
        <v>14.9129787234043</v>
      </c>
      <c r="F44" s="3" t="n">
        <f aca="false">B44-E44</f>
        <v>0.587021276595745</v>
      </c>
    </row>
    <row r="45" customFormat="false" ht="13.8" hidden="false" customHeight="false" outlineLevel="0" collapsed="false">
      <c r="A45" s="0" t="n">
        <f aca="false">16.67-1.59</f>
        <v>15.08</v>
      </c>
      <c r="B45" s="0" t="n">
        <v>18.5</v>
      </c>
      <c r="C45" s="2" t="n">
        <f aca="false">B45-A45</f>
        <v>3.42</v>
      </c>
      <c r="E45" s="3" t="n">
        <f aca="false">A45+$H$21</f>
        <v>16.7329787234043</v>
      </c>
      <c r="F45" s="3" t="n">
        <f aca="false">B45-E45</f>
        <v>1.76702127659574</v>
      </c>
    </row>
    <row r="46" customFormat="false" ht="13.8" hidden="false" customHeight="false" outlineLevel="0" collapsed="false">
      <c r="A46" s="0" t="n">
        <f aca="false">19.92-1.59</f>
        <v>18.33</v>
      </c>
      <c r="B46" s="0" t="n">
        <v>21.7</v>
      </c>
      <c r="C46" s="2" t="n">
        <f aca="false">B46-A46</f>
        <v>3.37</v>
      </c>
      <c r="E46" s="3" t="n">
        <f aca="false">A46+$H$21</f>
        <v>19.9829787234043</v>
      </c>
      <c r="F46" s="3" t="n">
        <f aca="false">B46-E46</f>
        <v>1.71702127659574</v>
      </c>
    </row>
    <row r="47" customFormat="false" ht="13.8" hidden="false" customHeight="false" outlineLevel="0" collapsed="false">
      <c r="A47" s="0" t="n">
        <f aca="false">21.38-1.59</f>
        <v>19.79</v>
      </c>
      <c r="B47" s="0" t="n">
        <v>20.42</v>
      </c>
      <c r="C47" s="2" t="n">
        <f aca="false">B47-A47</f>
        <v>0.630000000000003</v>
      </c>
      <c r="E47" s="3" t="n">
        <f aca="false">A47+$H$21</f>
        <v>21.4429787234043</v>
      </c>
      <c r="F47" s="3" t="n">
        <f aca="false">B47-E47</f>
        <v>-1.02297872340425</v>
      </c>
    </row>
    <row r="48" customFormat="false" ht="13.8" hidden="false" customHeight="false" outlineLevel="0" collapsed="false">
      <c r="A48" s="0" t="n">
        <f aca="false">16.38-1.59</f>
        <v>14.79</v>
      </c>
      <c r="B48" s="0" t="n">
        <v>14.37</v>
      </c>
      <c r="C48" s="2" t="n">
        <f aca="false">B48-A48</f>
        <v>-0.42</v>
      </c>
      <c r="E48" s="3" t="n">
        <f aca="false">A48+$H$21</f>
        <v>16.4429787234043</v>
      </c>
      <c r="F48" s="3" t="n">
        <f aca="false">B48-E48</f>
        <v>-2.07297872340426</v>
      </c>
    </row>
    <row r="49" customFormat="false" ht="15" hidden="false" customHeight="false" outlineLevel="0" collapsed="false">
      <c r="A49" s="0" t="n">
        <f aca="false">11.59-1.59</f>
        <v>10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2017-04-20T07:09:10Z</dcterms:created>
  <dc:creator>rolf</dc:creator>
  <dc:description/>
  <dc:language>de-DE</dc:language>
  <cp:lastModifiedBy/>
  <dcterms:modified xsi:type="dcterms:W3CDTF">2017-05-20T15:32:50Z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